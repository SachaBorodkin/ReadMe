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cuments\GitHub\ReadMe\doc\"/>
    </mc:Choice>
  </mc:AlternateContent>
  <xr:revisionPtr revIDLastSave="0" documentId="13_ncr:1_{FEA113F8-8C16-4CFF-AC7A-89EA49115E6C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<sst xmlns="http://schemas.openxmlformats.org/spreadsheetml/2006/main" count="67" uniqueCount="50">
  <si>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</si>
  <si>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</si>
  <si>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</si>
  <si>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</si>
  <si>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</si>
  <si>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</si>
  <si>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</si>
  <si>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</si>
  <si>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</si>
  <si>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</si>
  <si>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</si>
  <si>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</si>
  <si>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</si>
  <si>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</si>
  <si>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</si>
  <si>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</si>
  <si>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</si>
  <si>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</si>
  <si>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</si>
  <si>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</si>
  <si>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</si>
  <si>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</si>
  <si>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</si>
  <si>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</si>
  <si>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</si>
  <si>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</si>
  <si>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</si>
  <si>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</si>
  <si>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</si>
  <si>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</si>
  <si>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</si>
  <si>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</si>
  <si>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</si>
  <si>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</si>
  <si>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</si>
  <si>
    <t>Migration de la base locale à API pout fetcher les livres</t>
  </si>
  <si>
    <t>Les données ne voulaient pas s'afficher</t>
  </si>
  <si>
    <t>Affichage des epubs des livres : appel des fichiers du dossier pendant clique sur le livre et ouverture dans WebView</t>
  </si>
  <si>
    <t xml:space="preserve">Sauvegarde du progres et récupération lors prochain ouverture </t>
  </si>
  <si>
    <t>Améliorations du design de l'application</t>
  </si>
  <si>
    <t>Ajout des tags pour les livres, pour le moment seulement l'apparence</t>
  </si>
  <si>
    <t>Ajout des livres dans app via formulaire</t>
  </si>
  <si>
    <t>ça cassait le titre du livre</t>
  </si>
  <si>
    <t>Règlage du problème avec les titres [WiP]</t>
  </si>
  <si>
    <t>Règlage du problème avec les titres [DONE]</t>
  </si>
  <si>
    <t>Ajout de la suppression des livres</t>
  </si>
  <si>
    <t>Ajout des tags fonctionnels pour les livres</t>
  </si>
  <si>
    <t>Ajout de l'ajout des tags</t>
  </si>
  <si>
    <t>Ajout des scénarios du test pour l'application</t>
  </si>
  <si>
    <t>Les retouches finales sur le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</si>
</sst>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0.59722222222222221</c:v>
                </c:pt>
                <c:pt idx="2">
                  <c:v>2.0833333333333332E-2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5.5555555555555552E-2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2" activePane="bottomLeft" state="frozen"/>
      <selection pane="bottomLeft" activeCell="F29" sqref="F29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18 heurs 9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540</v>
      </c>
      <c r="D4" s="24">
        <f>SUBTOTAL(9,$D$7:$D$531)</f>
        <v>550</v>
      </c>
      <c r="E4" s="51">
        <f>SUM(C4:D4)</f>
        <v>1090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>
        <v>17</v>
      </c>
      <c r="B11" s="39">
        <v>46134</v>
      </c>
      <c r="C11" s="35">
        <v>1</v>
      </c>
      <c r="D11" s="43">
        <v>50</v>
      </c>
      <c r="E11" s="18" t="s">
        <v>4</v>
      </c>
      <c r="F11" s="47" t="s">
        <v>35</v>
      </c>
      <c r="G11" s="19" t="s">
        <v>36</v>
      </c>
      <c r="M11" t="s">
        <v>6</v>
      </c>
      <c r="N11">
        <v>4</v>
      </c>
      <c r="O11">
        <v>15</v>
      </c>
    </row>
    <row r="12" spans="1:15" ht="31.5" x14ac:dyDescent="0.25">
      <c r="B12" s="38">
        <v>46141</v>
      </c>
      <c r="C12" s="34"/>
      <c r="D12" s="42">
        <v>45</v>
      </c>
      <c r="E12" t="s">
        <v>4</v>
      </c>
      <c r="F12" s="47" t="s">
        <v>37</v>
      </c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>
        <v>46141</v>
      </c>
      <c r="C13" s="35"/>
      <c r="D13" s="43">
        <v>50</v>
      </c>
      <c r="E13" s="18" t="s">
        <v>4</v>
      </c>
      <c r="F13" s="47" t="s">
        <v>38</v>
      </c>
      <c r="G13" s="19"/>
      <c r="M13" t="s">
        <v>8</v>
      </c>
      <c r="N13">
        <v>6</v>
      </c>
      <c r="O13">
        <v>25</v>
      </c>
    </row>
    <row r="14" spans="1:15" x14ac:dyDescent="0.25">
      <c r="B14" s="38">
        <v>46141</v>
      </c>
      <c r="C14" s="34"/>
      <c r="D14" s="42">
        <v>50</v>
      </c>
      <c r="E14" t="s">
        <v>24</v>
      </c>
      <c r="F14" s="47" t="s">
        <v>39</v>
      </c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>
        <v>46148</v>
      </c>
      <c r="C15" s="35"/>
      <c r="D15" s="43">
        <v>35</v>
      </c>
      <c r="E15" s="18" t="s">
        <v>4</v>
      </c>
      <c r="F15" s="47" t="s">
        <v>40</v>
      </c>
      <c r="G15" s="19"/>
      <c r="M15" t="s">
        <v>25</v>
      </c>
      <c r="N15">
        <v>8</v>
      </c>
      <c r="O15">
        <v>35</v>
      </c>
    </row>
    <row r="16" spans="1:15" x14ac:dyDescent="0.25">
      <c r="B16" s="38">
        <v>46148</v>
      </c>
      <c r="C16" s="34">
        <v>1</v>
      </c>
      <c r="D16" s="42"/>
      <c r="E16" t="s">
        <v>4</v>
      </c>
      <c r="F16" s="47" t="s">
        <v>41</v>
      </c>
      <c r="G16" s="16" t="s">
        <v>42</v>
      </c>
      <c r="O16">
        <v>40</v>
      </c>
    </row>
    <row r="17" spans="1:15" x14ac:dyDescent="0.25">
      <c r="A17" s="17"/>
      <c r="B17" s="39">
        <v>46148</v>
      </c>
      <c r="C17" s="35"/>
      <c r="D17" s="43">
        <v>45</v>
      </c>
      <c r="E17" s="18" t="s">
        <v>4</v>
      </c>
      <c r="F17" s="47" t="s">
        <v>43</v>
      </c>
      <c r="G17" s="19"/>
      <c r="O17">
        <v>45</v>
      </c>
    </row>
    <row r="18" spans="1:15" x14ac:dyDescent="0.25">
      <c r="B18" s="38">
        <v>46155</v>
      </c>
      <c r="C18" s="34"/>
      <c r="D18" s="42">
        <v>45</v>
      </c>
      <c r="E18" t="s">
        <v>4</v>
      </c>
      <c r="F18" s="47" t="s">
        <v>44</v>
      </c>
      <c r="G18" s="16"/>
      <c r="O18">
        <v>50</v>
      </c>
    </row>
    <row r="19" spans="1:15" x14ac:dyDescent="0.25">
      <c r="A19" s="17"/>
      <c r="B19" s="39">
        <v>46155</v>
      </c>
      <c r="C19" s="35"/>
      <c r="D19" s="43">
        <v>45</v>
      </c>
      <c r="E19" s="18" t="s">
        <v>4</v>
      </c>
      <c r="F19" s="47" t="s">
        <v>45</v>
      </c>
      <c r="G19" s="19"/>
      <c r="O19">
        <v>55</v>
      </c>
    </row>
    <row r="20" spans="1:15" x14ac:dyDescent="0.25">
      <c r="B20" s="38">
        <v>46155</v>
      </c>
      <c r="C20" s="34"/>
      <c r="D20" s="42">
        <v>35</v>
      </c>
      <c r="E20" t="s">
        <v>4</v>
      </c>
      <c r="F20" s="47" t="s">
        <v>46</v>
      </c>
      <c r="G20" s="16"/>
    </row>
    <row r="21" spans="1:15" x14ac:dyDescent="0.25">
      <c r="A21" s="17"/>
      <c r="B21" s="39">
        <v>46162</v>
      </c>
      <c r="C21" s="35"/>
      <c r="D21" s="43">
        <v>30</v>
      </c>
      <c r="E21" s="18" t="s">
        <v>4</v>
      </c>
      <c r="F21" s="47" t="s">
        <v>47</v>
      </c>
      <c r="G21" s="19"/>
    </row>
    <row r="22" spans="1:15" x14ac:dyDescent="0.25">
      <c r="B22" s="38">
        <v>46162</v>
      </c>
      <c r="C22" s="34"/>
      <c r="D22" s="42">
        <v>30</v>
      </c>
      <c r="E22" t="s">
        <v>5</v>
      </c>
      <c r="F22" s="47" t="s">
        <v>48</v>
      </c>
      <c r="G22" s="16"/>
    </row>
    <row r="23" spans="1:15" x14ac:dyDescent="0.25">
      <c r="A23" s="17"/>
      <c r="B23" s="39">
        <v>46162</v>
      </c>
      <c r="C23" s="35">
        <v>1</v>
      </c>
      <c r="D23" s="43"/>
      <c r="E23" s="18" t="s">
        <v>4</v>
      </c>
      <c r="F23" s="47" t="s">
        <v>49</v>
      </c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420</v>
      </c>
      <c r="B5">
        <f>SUMIF('Journal de travail'!$E$7:$E$532,Analyse!C5,'Journal de travail'!$D$7:$D$532)</f>
        <v>440</v>
      </c>
      <c r="C5" s="52" t="str">
        <f>'Journal de travail'!M9</f>
        <v>Développement</v>
      </c>
      <c r="D5" s="44">
        <f t="shared" ref="D5:D11" si="0">(A5+B5)/1440</f>
        <v>0.59722222222222221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30</v>
      </c>
      <c r="C6" s="28" t="str">
        <f>'Journal de travail'!M10</f>
        <v>Test</v>
      </c>
      <c r="D6" s="44">
        <f t="shared" si="0"/>
        <v>2.0833333333333332E-2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80</v>
      </c>
      <c r="C10" s="48" t="str">
        <f>'Journal de travail'!M14</f>
        <v>Design</v>
      </c>
      <c r="D10" s="44">
        <f t="shared" si="0"/>
        <v>5.5555555555555552E-2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0.67361111111111116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2026-05-27T06:39:42Z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